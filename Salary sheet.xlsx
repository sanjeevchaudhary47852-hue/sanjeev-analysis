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530"/>
  </bookViews>
  <sheets>
    <sheet name="Sheet1" sheetId="1" r:id="rId1"/>
  </sheets>
  <definedNames>
    <definedName name="_xlnm.Print_Area" localSheetId="0">Sheet1!$A$1:$O$25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1" l="1"/>
  <c r="A7" i="1" l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N25" i="1" l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6" i="1"/>
</calcChain>
</file>

<file path=xl/sharedStrings.xml><?xml version="1.0" encoding="utf-8"?>
<sst xmlns="http://schemas.openxmlformats.org/spreadsheetml/2006/main" count="60" uniqueCount="44">
  <si>
    <t>Emp_Id</t>
  </si>
  <si>
    <t>Emp_Name</t>
  </si>
  <si>
    <t>Degisnation</t>
  </si>
  <si>
    <t>Basic salary</t>
  </si>
  <si>
    <t>Attendance</t>
  </si>
  <si>
    <t>salary</t>
  </si>
  <si>
    <t>OT in Hrs.</t>
  </si>
  <si>
    <t>OT Salary</t>
  </si>
  <si>
    <t>Gross salary</t>
  </si>
  <si>
    <t>In Hand Salary</t>
  </si>
  <si>
    <t>Salary</t>
  </si>
  <si>
    <t>Allowance</t>
  </si>
  <si>
    <t xml:space="preserve">Gross </t>
  </si>
  <si>
    <t>Total salary</t>
  </si>
  <si>
    <t>RAM</t>
  </si>
  <si>
    <t>SURESH</t>
  </si>
  <si>
    <t>MEENA</t>
  </si>
  <si>
    <t>SUMAN</t>
  </si>
  <si>
    <t>BABALU</t>
  </si>
  <si>
    <t>GAGAN</t>
  </si>
  <si>
    <t>HEENA</t>
  </si>
  <si>
    <t>SAMEER</t>
  </si>
  <si>
    <t>PUNIT</t>
  </si>
  <si>
    <t>DHEERAJ</t>
  </si>
  <si>
    <t>POOJA</t>
  </si>
  <si>
    <t>LAL</t>
  </si>
  <si>
    <t>VIVEK</t>
  </si>
  <si>
    <t>SANJEEV</t>
  </si>
  <si>
    <t>VIRENDRA</t>
  </si>
  <si>
    <t>RAJENDRA</t>
  </si>
  <si>
    <t>BABITA</t>
  </si>
  <si>
    <t>GEETA</t>
  </si>
  <si>
    <t>SENIOR MANAGER</t>
  </si>
  <si>
    <t>JUR.ASST.</t>
  </si>
  <si>
    <t>ASSISTANCE</t>
  </si>
  <si>
    <t>PEON</t>
  </si>
  <si>
    <t>HELPER</t>
  </si>
  <si>
    <t>D.A.(1.7)%</t>
  </si>
  <si>
    <t>H.R.A (1.5)%</t>
  </si>
  <si>
    <t>P.F. (2)%</t>
  </si>
  <si>
    <t>E.S.I. (1.5)%</t>
  </si>
  <si>
    <t>TOTAL</t>
  </si>
  <si>
    <t>Bonus</t>
  </si>
  <si>
    <t>SALARY SHEET OF JANUARY(2026)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</si>
</sst>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\ &quot;DAYS&quot;"/>
    <numFmt numFmtId="165" formatCode="General\ &quot;Hrs&quot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26"/>
      <color rgb="FF0070C0"/>
      <name val="Arial Black"/>
      <family val="2"/>
    </font>
    <font>
      <sz val="14"/>
      <color theme="1"/>
      <name val="Calibri"/>
      <family val="2"/>
      <scheme val="minor"/>
    </font>
    <font>
      <b/>
      <sz val="16"/>
      <color theme="1"/>
      <name val="Arial Black"/>
      <family val="2"/>
    </font>
    <font>
      <b/>
      <sz val="20"/>
      <color rgb="FF00B050"/>
      <name val="Aparajita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581A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3" fillId="2" borderId="1" xfId="0" applyFont="1" applyFill="1" applyBorder="1" applyAlignment="1">
      <alignment vertical="center"/>
    </xf>
    <xf numFmtId="0" fontId="5" fillId="4" borderId="0" xfId="0" applyFont="1" applyFill="1"/>
    <xf numFmtId="0" fontId="3" fillId="4" borderId="0" xfId="0" applyFont="1" applyFill="1"/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/>
    </xf>
    <xf numFmtId="164" fontId="0" fillId="2" borderId="0" xfId="0" applyNumberFormat="1" applyFill="1" applyBorder="1" applyAlignment="1">
      <alignment horizontal="center"/>
    </xf>
    <xf numFmtId="43" fontId="0" fillId="2" borderId="0" xfId="1" applyFont="1" applyFill="1" applyBorder="1" applyAlignment="1">
      <alignment horizontal="center"/>
    </xf>
    <xf numFmtId="43" fontId="0" fillId="2" borderId="0" xfId="1" applyFont="1" applyFill="1" applyBorder="1" applyAlignment="1"/>
    <xf numFmtId="165" fontId="0" fillId="2" borderId="0" xfId="0" applyNumberForma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3" fontId="2" fillId="8" borderId="1" xfId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43" fontId="0" fillId="9" borderId="1" xfId="1" applyFont="1" applyFill="1" applyBorder="1" applyAlignment="1">
      <alignment horizontal="center"/>
    </xf>
    <xf numFmtId="165" fontId="0" fillId="9" borderId="1" xfId="0" applyNumberFormat="1" applyFill="1" applyBorder="1" applyAlignment="1">
      <alignment horizontal="center"/>
    </xf>
    <xf numFmtId="43" fontId="0" fillId="10" borderId="1" xfId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4" borderId="2" xfId="0" applyFont="1" applyFill="1" applyBorder="1" applyAlignment="1">
      <alignment horizontal="center"/>
    </xf>
    <xf numFmtId="43" fontId="0" fillId="6" borderId="1" xfId="1" applyFont="1" applyFill="1" applyBorder="1" applyAlignment="1">
      <alignment horizontal="center"/>
    </xf>
    <xf numFmtId="43" fontId="0" fillId="11" borderId="1" xfId="1" applyFont="1" applyFill="1" applyBorder="1" applyAlignment="1">
      <alignment horizontal="center"/>
    </xf>
    <xf numFmtId="43" fontId="0" fillId="11" borderId="1" xfId="1" applyFont="1" applyFill="1" applyBorder="1" applyAlignment="1"/>
    <xf numFmtId="43" fontId="2" fillId="6" borderId="1" xfId="1" applyFont="1" applyFill="1" applyBorder="1" applyAlignment="1"/>
    <xf numFmtId="0" fontId="6" fillId="2" borderId="3" xfId="0" applyFont="1" applyFill="1" applyBorder="1" applyAlignment="1">
      <alignment horizontal="center"/>
    </xf>
    <xf numFmtId="43" fontId="7" fillId="2" borderId="3" xfId="1" applyFont="1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E581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5"/>
  <sheetViews>
    <sheetView tabSelected="1" zoomScaleNormal="100" workbookViewId="0">
      <selection activeCell="H33" sqref="H33"/>
    </sheetView>
  </sheetViews>
  <sheetFormatPr defaultRowHeight="15" x14ac:dyDescent="0.25"/>
  <cols>
    <col min="1" max="1" width="9.5703125" customWidth="1"/>
    <col min="2" max="2" width="14.28515625" customWidth="1"/>
    <col min="3" max="3" width="17.140625" customWidth="1"/>
    <col min="4" max="4" width="9.7109375" customWidth="1"/>
    <col min="5" max="5" width="13.85546875" customWidth="1"/>
    <col min="6" max="6" width="12" customWidth="1"/>
    <col min="7" max="7" width="8.5703125" customWidth="1"/>
    <col min="8" max="8" width="11.42578125" customWidth="1"/>
    <col min="9" max="9" width="9.42578125" customWidth="1"/>
    <col min="10" max="10" width="9.7109375" customWidth="1"/>
    <col min="11" max="11" width="10.42578125" customWidth="1"/>
    <col min="12" max="12" width="11.7109375" customWidth="1"/>
    <col min="13" max="13" width="10.28515625" customWidth="1"/>
    <col min="14" max="14" width="9.5703125" customWidth="1"/>
    <col min="15" max="15" width="15.140625" customWidth="1"/>
  </cols>
  <sheetData>
    <row r="1" spans="1:15" x14ac:dyDescent="0.25">
      <c r="A1" s="20" t="s">
        <v>43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5" x14ac:dyDescent="0.2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ht="18.75" x14ac:dyDescent="0.3">
      <c r="A4" s="22" t="s">
        <v>1</v>
      </c>
      <c r="B4" s="22"/>
      <c r="C4" s="22"/>
      <c r="D4" s="22" t="s">
        <v>10</v>
      </c>
      <c r="E4" s="22"/>
      <c r="F4" s="22"/>
      <c r="G4" s="22" t="s">
        <v>11</v>
      </c>
      <c r="H4" s="22"/>
      <c r="I4" s="22"/>
      <c r="J4" s="22"/>
      <c r="K4" s="22"/>
      <c r="L4" s="3" t="s">
        <v>12</v>
      </c>
      <c r="M4" s="2"/>
      <c r="N4" s="2"/>
      <c r="O4" s="3" t="s">
        <v>13</v>
      </c>
    </row>
    <row r="5" spans="1:15" ht="37.5" x14ac:dyDescent="0.25">
      <c r="A5" s="1" t="s">
        <v>0</v>
      </c>
      <c r="B5" s="1" t="s">
        <v>1</v>
      </c>
      <c r="C5" s="1" t="s">
        <v>2</v>
      </c>
      <c r="D5" s="5" t="s">
        <v>3</v>
      </c>
      <c r="E5" s="1" t="s">
        <v>4</v>
      </c>
      <c r="F5" s="1" t="s">
        <v>5</v>
      </c>
      <c r="G5" s="4" t="s">
        <v>38</v>
      </c>
      <c r="H5" s="4" t="s">
        <v>37</v>
      </c>
      <c r="I5" s="1" t="s">
        <v>42</v>
      </c>
      <c r="J5" s="4" t="s">
        <v>6</v>
      </c>
      <c r="K5" s="4" t="s">
        <v>7</v>
      </c>
      <c r="L5" s="4" t="s">
        <v>8</v>
      </c>
      <c r="M5" s="4" t="s">
        <v>39</v>
      </c>
      <c r="N5" s="4" t="s">
        <v>40</v>
      </c>
      <c r="O5" s="4" t="s">
        <v>9</v>
      </c>
    </row>
    <row r="6" spans="1:15" x14ac:dyDescent="0.25">
      <c r="A6" s="11" t="str">
        <f>IF(B6="","","SAR"&amp;ROW(1001:1001))</f>
        <v>SAR1001</v>
      </c>
      <c r="B6" s="12" t="s">
        <v>14</v>
      </c>
      <c r="C6" s="15" t="s">
        <v>32</v>
      </c>
      <c r="D6" s="13">
        <v>60000</v>
      </c>
      <c r="E6" s="16">
        <v>29</v>
      </c>
      <c r="F6" s="24">
        <f>D6/30*E6</f>
        <v>58000</v>
      </c>
      <c r="G6" s="25">
        <f>D6*1.5%</f>
        <v>900</v>
      </c>
      <c r="H6" s="25">
        <f>D6*1.7%</f>
        <v>1020.0000000000001</v>
      </c>
      <c r="I6" s="17">
        <v>5000</v>
      </c>
      <c r="J6" s="18">
        <v>60</v>
      </c>
      <c r="K6" s="23">
        <f>D6/30/8*J6</f>
        <v>15000</v>
      </c>
      <c r="L6" s="26">
        <f>F6+G6+H6+I6+K6</f>
        <v>79920</v>
      </c>
      <c r="M6" s="19">
        <f>L6*2%</f>
        <v>1598.4</v>
      </c>
      <c r="N6" s="19">
        <f>L6*1.5%</f>
        <v>1198.8</v>
      </c>
      <c r="O6" s="14">
        <f>L6-M6-N6</f>
        <v>77122.8</v>
      </c>
    </row>
    <row r="7" spans="1:15" x14ac:dyDescent="0.25">
      <c r="A7" s="11" t="str">
        <f t="shared" ref="A7:A24" si="0">IF(B7="","","SAR"&amp;ROW(1002:1002))</f>
        <v>SAR1002</v>
      </c>
      <c r="B7" s="12" t="s">
        <v>15</v>
      </c>
      <c r="C7" s="15" t="s">
        <v>33</v>
      </c>
      <c r="D7" s="13">
        <v>50000</v>
      </c>
      <c r="E7" s="16">
        <v>27</v>
      </c>
      <c r="F7" s="24">
        <f t="shared" ref="F7:F24" si="1">D7/30*E7</f>
        <v>45000</v>
      </c>
      <c r="G7" s="25">
        <f t="shared" ref="G7:G24" si="2">D7*1.5%</f>
        <v>750</v>
      </c>
      <c r="H7" s="25">
        <f t="shared" ref="H7:H24" si="3">D7*1.7%</f>
        <v>850.00000000000011</v>
      </c>
      <c r="I7" s="17">
        <v>3000</v>
      </c>
      <c r="J7" s="18">
        <v>40</v>
      </c>
      <c r="K7" s="23">
        <f t="shared" ref="K7:K24" si="4">D7/30/8*J7</f>
        <v>8333.3333333333339</v>
      </c>
      <c r="L7" s="26">
        <f t="shared" ref="L7:L24" si="5">F7+G7+H7+I7+K7</f>
        <v>57933.333333333336</v>
      </c>
      <c r="M7" s="19">
        <f t="shared" ref="M7:M24" si="6">L7*2%</f>
        <v>1158.6666666666667</v>
      </c>
      <c r="N7" s="19">
        <f t="shared" ref="N7:N24" si="7">L7*1.5%</f>
        <v>869</v>
      </c>
      <c r="O7" s="14">
        <f t="shared" ref="O7:O24" si="8">L7-M7-N7</f>
        <v>55905.666666666672</v>
      </c>
    </row>
    <row r="8" spans="1:15" x14ac:dyDescent="0.25">
      <c r="A8" s="11" t="str">
        <f t="shared" si="0"/>
        <v>SAR1003</v>
      </c>
      <c r="B8" s="12" t="s">
        <v>16</v>
      </c>
      <c r="C8" s="15" t="s">
        <v>34</v>
      </c>
      <c r="D8" s="13">
        <v>40000</v>
      </c>
      <c r="E8" s="16">
        <v>28</v>
      </c>
      <c r="F8" s="24">
        <f t="shared" si="1"/>
        <v>37333.333333333328</v>
      </c>
      <c r="G8" s="25">
        <f t="shared" si="2"/>
        <v>600</v>
      </c>
      <c r="H8" s="25">
        <f t="shared" si="3"/>
        <v>680</v>
      </c>
      <c r="I8" s="17">
        <v>3000</v>
      </c>
      <c r="J8" s="18">
        <v>50</v>
      </c>
      <c r="K8" s="23">
        <f t="shared" si="4"/>
        <v>8333.3333333333321</v>
      </c>
      <c r="L8" s="26">
        <f t="shared" si="5"/>
        <v>49946.666666666657</v>
      </c>
      <c r="M8" s="19">
        <f t="shared" si="6"/>
        <v>998.93333333333317</v>
      </c>
      <c r="N8" s="19">
        <f t="shared" si="7"/>
        <v>749.19999999999982</v>
      </c>
      <c r="O8" s="14">
        <f t="shared" si="8"/>
        <v>48198.533333333326</v>
      </c>
    </row>
    <row r="9" spans="1:15" x14ac:dyDescent="0.25">
      <c r="A9" s="11" t="str">
        <f t="shared" si="0"/>
        <v>SAR1004</v>
      </c>
      <c r="B9" s="12" t="s">
        <v>17</v>
      </c>
      <c r="C9" s="15" t="s">
        <v>35</v>
      </c>
      <c r="D9" s="13">
        <v>30000</v>
      </c>
      <c r="E9" s="16">
        <v>29</v>
      </c>
      <c r="F9" s="24">
        <f t="shared" si="1"/>
        <v>29000</v>
      </c>
      <c r="G9" s="25">
        <f t="shared" si="2"/>
        <v>450</v>
      </c>
      <c r="H9" s="25">
        <f t="shared" si="3"/>
        <v>510.00000000000006</v>
      </c>
      <c r="I9" s="17">
        <v>2700</v>
      </c>
      <c r="J9" s="18">
        <v>48</v>
      </c>
      <c r="K9" s="23">
        <f t="shared" si="4"/>
        <v>6000</v>
      </c>
      <c r="L9" s="26">
        <f t="shared" si="5"/>
        <v>38660</v>
      </c>
      <c r="M9" s="19">
        <f t="shared" si="6"/>
        <v>773.2</v>
      </c>
      <c r="N9" s="19">
        <f t="shared" si="7"/>
        <v>579.9</v>
      </c>
      <c r="O9" s="14">
        <f t="shared" si="8"/>
        <v>37306.9</v>
      </c>
    </row>
    <row r="10" spans="1:15" x14ac:dyDescent="0.25">
      <c r="A10" s="11" t="str">
        <f t="shared" si="0"/>
        <v>SAR1005</v>
      </c>
      <c r="B10" s="12" t="s">
        <v>18</v>
      </c>
      <c r="C10" s="15" t="s">
        <v>36</v>
      </c>
      <c r="D10" s="13">
        <v>25000</v>
      </c>
      <c r="E10" s="16">
        <v>28</v>
      </c>
      <c r="F10" s="24">
        <f t="shared" si="1"/>
        <v>23333.333333333336</v>
      </c>
      <c r="G10" s="25">
        <f t="shared" si="2"/>
        <v>375</v>
      </c>
      <c r="H10" s="25">
        <f t="shared" si="3"/>
        <v>425.00000000000006</v>
      </c>
      <c r="I10" s="17">
        <v>2200</v>
      </c>
      <c r="J10" s="18">
        <v>39</v>
      </c>
      <c r="K10" s="23">
        <f t="shared" si="4"/>
        <v>4062.5</v>
      </c>
      <c r="L10" s="26">
        <f t="shared" si="5"/>
        <v>30395.833333333336</v>
      </c>
      <c r="M10" s="19">
        <f t="shared" si="6"/>
        <v>607.91666666666674</v>
      </c>
      <c r="N10" s="19">
        <f t="shared" si="7"/>
        <v>455.9375</v>
      </c>
      <c r="O10" s="14">
        <f t="shared" si="8"/>
        <v>29331.979166666668</v>
      </c>
    </row>
    <row r="11" spans="1:15" x14ac:dyDescent="0.25">
      <c r="A11" s="11" t="str">
        <f t="shared" si="0"/>
        <v>SAR1006</v>
      </c>
      <c r="B11" s="12" t="s">
        <v>19</v>
      </c>
      <c r="C11" s="15" t="s">
        <v>32</v>
      </c>
      <c r="D11" s="13">
        <v>60000</v>
      </c>
      <c r="E11" s="16">
        <v>30</v>
      </c>
      <c r="F11" s="24">
        <f t="shared" si="1"/>
        <v>60000</v>
      </c>
      <c r="G11" s="25">
        <f t="shared" si="2"/>
        <v>900</v>
      </c>
      <c r="H11" s="25">
        <f t="shared" si="3"/>
        <v>1020.0000000000001</v>
      </c>
      <c r="I11" s="17">
        <v>5000</v>
      </c>
      <c r="J11" s="18">
        <v>40</v>
      </c>
      <c r="K11" s="23">
        <f t="shared" si="4"/>
        <v>10000</v>
      </c>
      <c r="L11" s="26">
        <f t="shared" si="5"/>
        <v>76920</v>
      </c>
      <c r="M11" s="19">
        <f t="shared" si="6"/>
        <v>1538.4</v>
      </c>
      <c r="N11" s="19">
        <f t="shared" si="7"/>
        <v>1153.8</v>
      </c>
      <c r="O11" s="14">
        <f t="shared" si="8"/>
        <v>74227.8</v>
      </c>
    </row>
    <row r="12" spans="1:15" x14ac:dyDescent="0.25">
      <c r="A12" s="11" t="str">
        <f t="shared" si="0"/>
        <v>SAR1007</v>
      </c>
      <c r="B12" s="12" t="s">
        <v>20</v>
      </c>
      <c r="C12" s="15" t="s">
        <v>33</v>
      </c>
      <c r="D12" s="13">
        <v>50000</v>
      </c>
      <c r="E12" s="16">
        <v>26</v>
      </c>
      <c r="F12" s="24">
        <f t="shared" si="1"/>
        <v>43333.333333333336</v>
      </c>
      <c r="G12" s="25">
        <f t="shared" si="2"/>
        <v>750</v>
      </c>
      <c r="H12" s="25">
        <f t="shared" si="3"/>
        <v>850.00000000000011</v>
      </c>
      <c r="I12" s="17">
        <v>2765</v>
      </c>
      <c r="J12" s="18">
        <v>70</v>
      </c>
      <c r="K12" s="23">
        <f t="shared" si="4"/>
        <v>14583.333333333334</v>
      </c>
      <c r="L12" s="26">
        <f t="shared" si="5"/>
        <v>62281.666666666672</v>
      </c>
      <c r="M12" s="19">
        <f t="shared" si="6"/>
        <v>1245.6333333333334</v>
      </c>
      <c r="N12" s="19">
        <f t="shared" si="7"/>
        <v>934.22500000000002</v>
      </c>
      <c r="O12" s="14">
        <f t="shared" si="8"/>
        <v>60101.808333333342</v>
      </c>
    </row>
    <row r="13" spans="1:15" x14ac:dyDescent="0.25">
      <c r="A13" s="11" t="str">
        <f t="shared" si="0"/>
        <v>SAR1008</v>
      </c>
      <c r="B13" s="12" t="s">
        <v>21</v>
      </c>
      <c r="C13" s="15" t="s">
        <v>34</v>
      </c>
      <c r="D13" s="13">
        <v>40000</v>
      </c>
      <c r="E13" s="16">
        <v>30</v>
      </c>
      <c r="F13" s="24">
        <f t="shared" si="1"/>
        <v>40000</v>
      </c>
      <c r="G13" s="25">
        <f t="shared" si="2"/>
        <v>600</v>
      </c>
      <c r="H13" s="25">
        <f t="shared" si="3"/>
        <v>680</v>
      </c>
      <c r="I13" s="17">
        <v>2000</v>
      </c>
      <c r="J13" s="18">
        <v>49</v>
      </c>
      <c r="K13" s="23">
        <f t="shared" si="4"/>
        <v>8166.6666666666661</v>
      </c>
      <c r="L13" s="26">
        <f t="shared" si="5"/>
        <v>51446.666666666664</v>
      </c>
      <c r="M13" s="19">
        <f t="shared" si="6"/>
        <v>1028.9333333333334</v>
      </c>
      <c r="N13" s="19">
        <f t="shared" si="7"/>
        <v>771.69999999999993</v>
      </c>
      <c r="O13" s="14">
        <f t="shared" si="8"/>
        <v>49646.033333333333</v>
      </c>
    </row>
    <row r="14" spans="1:15" x14ac:dyDescent="0.25">
      <c r="A14" s="11" t="str">
        <f t="shared" si="0"/>
        <v>SAR1009</v>
      </c>
      <c r="B14" s="12" t="s">
        <v>22</v>
      </c>
      <c r="C14" s="15" t="s">
        <v>35</v>
      </c>
      <c r="D14" s="13">
        <v>30000</v>
      </c>
      <c r="E14" s="16">
        <v>27</v>
      </c>
      <c r="F14" s="24">
        <f t="shared" si="1"/>
        <v>27000</v>
      </c>
      <c r="G14" s="25">
        <f t="shared" si="2"/>
        <v>450</v>
      </c>
      <c r="H14" s="25">
        <f t="shared" si="3"/>
        <v>510.00000000000006</v>
      </c>
      <c r="I14" s="17">
        <v>2700</v>
      </c>
      <c r="J14" s="18">
        <v>40</v>
      </c>
      <c r="K14" s="23">
        <f t="shared" si="4"/>
        <v>5000</v>
      </c>
      <c r="L14" s="26">
        <f t="shared" si="5"/>
        <v>35660</v>
      </c>
      <c r="M14" s="19">
        <f t="shared" si="6"/>
        <v>713.2</v>
      </c>
      <c r="N14" s="19">
        <f t="shared" si="7"/>
        <v>534.9</v>
      </c>
      <c r="O14" s="14">
        <f t="shared" si="8"/>
        <v>34411.9</v>
      </c>
    </row>
    <row r="15" spans="1:15" x14ac:dyDescent="0.25">
      <c r="A15" s="11" t="str">
        <f t="shared" si="0"/>
        <v>SAR1010</v>
      </c>
      <c r="B15" s="12" t="s">
        <v>23</v>
      </c>
      <c r="C15" s="15" t="s">
        <v>36</v>
      </c>
      <c r="D15" s="13">
        <v>25000</v>
      </c>
      <c r="E15" s="16">
        <v>29</v>
      </c>
      <c r="F15" s="24">
        <f t="shared" si="1"/>
        <v>24166.666666666668</v>
      </c>
      <c r="G15" s="25">
        <f t="shared" si="2"/>
        <v>375</v>
      </c>
      <c r="H15" s="25">
        <f t="shared" si="3"/>
        <v>425.00000000000006</v>
      </c>
      <c r="I15" s="17">
        <v>3000</v>
      </c>
      <c r="J15" s="18">
        <v>50</v>
      </c>
      <c r="K15" s="23">
        <f t="shared" si="4"/>
        <v>5208.3333333333339</v>
      </c>
      <c r="L15" s="26">
        <f t="shared" si="5"/>
        <v>33175</v>
      </c>
      <c r="M15" s="19">
        <f t="shared" si="6"/>
        <v>663.5</v>
      </c>
      <c r="N15" s="19">
        <f t="shared" si="7"/>
        <v>497.625</v>
      </c>
      <c r="O15" s="14">
        <f t="shared" si="8"/>
        <v>32013.875</v>
      </c>
    </row>
    <row r="16" spans="1:15" x14ac:dyDescent="0.25">
      <c r="A16" s="11" t="str">
        <f t="shared" si="0"/>
        <v>SAR1011</v>
      </c>
      <c r="B16" s="12" t="s">
        <v>24</v>
      </c>
      <c r="C16" s="15" t="s">
        <v>32</v>
      </c>
      <c r="D16" s="13">
        <v>60000</v>
      </c>
      <c r="E16" s="16">
        <v>27</v>
      </c>
      <c r="F16" s="24">
        <f t="shared" si="1"/>
        <v>54000</v>
      </c>
      <c r="G16" s="25">
        <f t="shared" si="2"/>
        <v>900</v>
      </c>
      <c r="H16" s="25">
        <f t="shared" si="3"/>
        <v>1020.0000000000001</v>
      </c>
      <c r="I16" s="17">
        <v>2600</v>
      </c>
      <c r="J16" s="18">
        <v>58</v>
      </c>
      <c r="K16" s="23">
        <f t="shared" si="4"/>
        <v>14500</v>
      </c>
      <c r="L16" s="26">
        <f t="shared" si="5"/>
        <v>73020</v>
      </c>
      <c r="M16" s="19">
        <f t="shared" si="6"/>
        <v>1460.4</v>
      </c>
      <c r="N16" s="19">
        <f t="shared" si="7"/>
        <v>1095.3</v>
      </c>
      <c r="O16" s="14">
        <f t="shared" si="8"/>
        <v>70464.3</v>
      </c>
    </row>
    <row r="17" spans="1:15" x14ac:dyDescent="0.25">
      <c r="A17" s="11" t="str">
        <f t="shared" si="0"/>
        <v>SAR1012</v>
      </c>
      <c r="B17" s="12" t="s">
        <v>25</v>
      </c>
      <c r="C17" s="15" t="s">
        <v>33</v>
      </c>
      <c r="D17" s="13">
        <v>35000</v>
      </c>
      <c r="E17" s="16">
        <v>29</v>
      </c>
      <c r="F17" s="24">
        <f t="shared" si="1"/>
        <v>33833.333333333336</v>
      </c>
      <c r="G17" s="25">
        <f t="shared" si="2"/>
        <v>525</v>
      </c>
      <c r="H17" s="25">
        <f t="shared" si="3"/>
        <v>595</v>
      </c>
      <c r="I17" s="17">
        <v>2700</v>
      </c>
      <c r="J17" s="18">
        <v>58</v>
      </c>
      <c r="K17" s="23">
        <f t="shared" si="4"/>
        <v>8458.3333333333339</v>
      </c>
      <c r="L17" s="26">
        <f t="shared" si="5"/>
        <v>46111.666666666672</v>
      </c>
      <c r="M17" s="19">
        <f t="shared" si="6"/>
        <v>922.23333333333346</v>
      </c>
      <c r="N17" s="19">
        <f t="shared" si="7"/>
        <v>691.67500000000007</v>
      </c>
      <c r="O17" s="14">
        <f t="shared" si="8"/>
        <v>44497.758333333339</v>
      </c>
    </row>
    <row r="18" spans="1:15" x14ac:dyDescent="0.25">
      <c r="A18" s="11" t="str">
        <f t="shared" si="0"/>
        <v>SAR1013</v>
      </c>
      <c r="B18" s="12" t="s">
        <v>26</v>
      </c>
      <c r="C18" s="15" t="s">
        <v>34</v>
      </c>
      <c r="D18" s="13">
        <v>23000</v>
      </c>
      <c r="E18" s="16">
        <v>24</v>
      </c>
      <c r="F18" s="24">
        <f t="shared" si="1"/>
        <v>18400</v>
      </c>
      <c r="G18" s="25">
        <f t="shared" si="2"/>
        <v>345</v>
      </c>
      <c r="H18" s="25">
        <f t="shared" si="3"/>
        <v>391</v>
      </c>
      <c r="I18" s="17">
        <v>2200</v>
      </c>
      <c r="J18" s="18">
        <v>50</v>
      </c>
      <c r="K18" s="23">
        <f t="shared" si="4"/>
        <v>4791.6666666666661</v>
      </c>
      <c r="L18" s="26">
        <f t="shared" si="5"/>
        <v>26127.666666666664</v>
      </c>
      <c r="M18" s="19">
        <f t="shared" si="6"/>
        <v>522.55333333333328</v>
      </c>
      <c r="N18" s="19">
        <f t="shared" si="7"/>
        <v>391.91499999999996</v>
      </c>
      <c r="O18" s="14">
        <f t="shared" si="8"/>
        <v>25213.19833333333</v>
      </c>
    </row>
    <row r="19" spans="1:15" x14ac:dyDescent="0.25">
      <c r="A19" s="11" t="str">
        <f t="shared" si="0"/>
        <v>SAR1014</v>
      </c>
      <c r="B19" s="12" t="s">
        <v>27</v>
      </c>
      <c r="C19" s="15" t="s">
        <v>35</v>
      </c>
      <c r="D19" s="13">
        <v>36554</v>
      </c>
      <c r="E19" s="16">
        <v>23</v>
      </c>
      <c r="F19" s="24">
        <f t="shared" si="1"/>
        <v>28024.733333333334</v>
      </c>
      <c r="G19" s="25">
        <f t="shared" si="2"/>
        <v>548.30999999999995</v>
      </c>
      <c r="H19" s="25">
        <f t="shared" si="3"/>
        <v>621.41800000000001</v>
      </c>
      <c r="I19" s="17">
        <v>2710</v>
      </c>
      <c r="J19" s="18">
        <v>30</v>
      </c>
      <c r="K19" s="23">
        <f t="shared" si="4"/>
        <v>4569.25</v>
      </c>
      <c r="L19" s="26">
        <f t="shared" si="5"/>
        <v>36473.71133333334</v>
      </c>
      <c r="M19" s="19">
        <f t="shared" si="6"/>
        <v>729.47422666666682</v>
      </c>
      <c r="N19" s="19">
        <f t="shared" si="7"/>
        <v>547.10567000000003</v>
      </c>
      <c r="O19" s="14">
        <f t="shared" si="8"/>
        <v>35197.131436666677</v>
      </c>
    </row>
    <row r="20" spans="1:15" x14ac:dyDescent="0.25">
      <c r="A20" s="11" t="str">
        <f t="shared" si="0"/>
        <v>SAR1015</v>
      </c>
      <c r="B20" s="12" t="s">
        <v>28</v>
      </c>
      <c r="C20" s="15" t="s">
        <v>36</v>
      </c>
      <c r="D20" s="13">
        <v>35467</v>
      </c>
      <c r="E20" s="16">
        <v>30</v>
      </c>
      <c r="F20" s="24">
        <f t="shared" si="1"/>
        <v>35467</v>
      </c>
      <c r="G20" s="25">
        <f t="shared" si="2"/>
        <v>532.005</v>
      </c>
      <c r="H20" s="25">
        <f t="shared" si="3"/>
        <v>602.93900000000008</v>
      </c>
      <c r="I20" s="17">
        <v>2345</v>
      </c>
      <c r="J20" s="18">
        <v>30</v>
      </c>
      <c r="K20" s="23">
        <f t="shared" si="4"/>
        <v>4433.375</v>
      </c>
      <c r="L20" s="26">
        <f t="shared" si="5"/>
        <v>43380.318999999996</v>
      </c>
      <c r="M20" s="19">
        <f t="shared" si="6"/>
        <v>867.60637999999994</v>
      </c>
      <c r="N20" s="19">
        <f t="shared" si="7"/>
        <v>650.7047849999999</v>
      </c>
      <c r="O20" s="14">
        <f t="shared" si="8"/>
        <v>41862.007834999997</v>
      </c>
    </row>
    <row r="21" spans="1:15" x14ac:dyDescent="0.25">
      <c r="A21" s="11" t="str">
        <f t="shared" si="0"/>
        <v>SAR1016</v>
      </c>
      <c r="B21" s="12" t="s">
        <v>29</v>
      </c>
      <c r="C21" s="15" t="s">
        <v>32</v>
      </c>
      <c r="D21" s="13">
        <v>60000</v>
      </c>
      <c r="E21" s="16">
        <v>28</v>
      </c>
      <c r="F21" s="24">
        <f t="shared" si="1"/>
        <v>56000</v>
      </c>
      <c r="G21" s="25">
        <f t="shared" si="2"/>
        <v>900</v>
      </c>
      <c r="H21" s="25">
        <f t="shared" si="3"/>
        <v>1020.0000000000001</v>
      </c>
      <c r="I21" s="17">
        <v>2762</v>
      </c>
      <c r="J21" s="18">
        <v>54</v>
      </c>
      <c r="K21" s="23">
        <f t="shared" si="4"/>
        <v>13500</v>
      </c>
      <c r="L21" s="26">
        <f t="shared" si="5"/>
        <v>74182</v>
      </c>
      <c r="M21" s="19">
        <f t="shared" si="6"/>
        <v>1483.64</v>
      </c>
      <c r="N21" s="19">
        <f t="shared" si="7"/>
        <v>1112.73</v>
      </c>
      <c r="O21" s="14">
        <f t="shared" si="8"/>
        <v>71585.63</v>
      </c>
    </row>
    <row r="22" spans="1:15" x14ac:dyDescent="0.25">
      <c r="A22" s="11" t="str">
        <f t="shared" si="0"/>
        <v>SAR1017</v>
      </c>
      <c r="B22" s="12" t="s">
        <v>21</v>
      </c>
      <c r="C22" s="15" t="s">
        <v>33</v>
      </c>
      <c r="D22" s="13">
        <v>43000</v>
      </c>
      <c r="E22" s="16">
        <v>28</v>
      </c>
      <c r="F22" s="24">
        <f t="shared" si="1"/>
        <v>40133.333333333328</v>
      </c>
      <c r="G22" s="25">
        <f t="shared" si="2"/>
        <v>645</v>
      </c>
      <c r="H22" s="25">
        <f t="shared" si="3"/>
        <v>731</v>
      </c>
      <c r="I22" s="17">
        <v>2000</v>
      </c>
      <c r="J22" s="18">
        <v>39</v>
      </c>
      <c r="K22" s="23">
        <f t="shared" si="4"/>
        <v>6987.5</v>
      </c>
      <c r="L22" s="26">
        <f t="shared" si="5"/>
        <v>50496.833333333328</v>
      </c>
      <c r="M22" s="19">
        <f t="shared" si="6"/>
        <v>1009.9366666666666</v>
      </c>
      <c r="N22" s="19">
        <f t="shared" si="7"/>
        <v>757.45249999999987</v>
      </c>
      <c r="O22" s="14">
        <f t="shared" si="8"/>
        <v>48729.444166666661</v>
      </c>
    </row>
    <row r="23" spans="1:15" x14ac:dyDescent="0.25">
      <c r="A23" s="11" t="str">
        <f t="shared" si="0"/>
        <v>SAR1018</v>
      </c>
      <c r="B23" s="12" t="s">
        <v>30</v>
      </c>
      <c r="C23" s="15" t="s">
        <v>34</v>
      </c>
      <c r="D23" s="13">
        <v>26778</v>
      </c>
      <c r="E23" s="16">
        <v>29</v>
      </c>
      <c r="F23" s="24">
        <f t="shared" si="1"/>
        <v>25885.4</v>
      </c>
      <c r="G23" s="25">
        <f t="shared" si="2"/>
        <v>401.66999999999996</v>
      </c>
      <c r="H23" s="25">
        <f t="shared" si="3"/>
        <v>455.22600000000006</v>
      </c>
      <c r="I23" s="17">
        <v>2890</v>
      </c>
      <c r="J23" s="18">
        <v>48</v>
      </c>
      <c r="K23" s="23">
        <f t="shared" si="4"/>
        <v>5355.6</v>
      </c>
      <c r="L23" s="26">
        <f t="shared" si="5"/>
        <v>34987.896000000001</v>
      </c>
      <c r="M23" s="19">
        <f t="shared" si="6"/>
        <v>699.75792000000001</v>
      </c>
      <c r="N23" s="19">
        <f t="shared" si="7"/>
        <v>524.81844000000001</v>
      </c>
      <c r="O23" s="14">
        <f t="shared" si="8"/>
        <v>33763.319640000002</v>
      </c>
    </row>
    <row r="24" spans="1:15" x14ac:dyDescent="0.25">
      <c r="A24" s="11" t="str">
        <f t="shared" si="0"/>
        <v>SAR1019</v>
      </c>
      <c r="B24" s="12" t="s">
        <v>31</v>
      </c>
      <c r="C24" s="15" t="s">
        <v>35</v>
      </c>
      <c r="D24" s="13">
        <v>30000</v>
      </c>
      <c r="E24" s="16">
        <v>30</v>
      </c>
      <c r="F24" s="24">
        <f t="shared" si="1"/>
        <v>30000</v>
      </c>
      <c r="G24" s="25">
        <f t="shared" si="2"/>
        <v>450</v>
      </c>
      <c r="H24" s="25">
        <f t="shared" si="3"/>
        <v>510.00000000000006</v>
      </c>
      <c r="I24" s="17">
        <v>2300</v>
      </c>
      <c r="J24" s="18">
        <v>30</v>
      </c>
      <c r="K24" s="23">
        <f t="shared" si="4"/>
        <v>3750</v>
      </c>
      <c r="L24" s="26">
        <f t="shared" si="5"/>
        <v>37010</v>
      </c>
      <c r="M24" s="19">
        <f t="shared" si="6"/>
        <v>740.2</v>
      </c>
      <c r="N24" s="19">
        <f t="shared" si="7"/>
        <v>555.15</v>
      </c>
      <c r="O24" s="14">
        <f t="shared" si="8"/>
        <v>35714.65</v>
      </c>
    </row>
    <row r="25" spans="1:15" ht="29.25" x14ac:dyDescent="0.6">
      <c r="A25" s="27" t="s">
        <v>41</v>
      </c>
      <c r="B25" s="27"/>
      <c r="C25" s="27"/>
      <c r="D25" s="6"/>
      <c r="E25" s="7"/>
      <c r="F25" s="8"/>
      <c r="G25" s="9"/>
      <c r="H25" s="9"/>
      <c r="I25" s="8"/>
      <c r="J25" s="10"/>
      <c r="K25" s="8"/>
      <c r="L25" s="9"/>
      <c r="M25" s="8"/>
      <c r="N25" s="28">
        <f>SUM(O6:O24)</f>
        <v>905294.73557833349</v>
      </c>
      <c r="O25" s="28"/>
    </row>
  </sheetData>
  <mergeCells count="6">
    <mergeCell ref="A1:O3"/>
    <mergeCell ref="A4:C4"/>
    <mergeCell ref="D4:F4"/>
    <mergeCell ref="G4:K4"/>
    <mergeCell ref="A25:C25"/>
    <mergeCell ref="N25:O25"/>
  </mergeCells>
  <pageMargins left="0.7" right="0.7" top="0.75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Chaudhary</dc:creator>
  <cp:lastModifiedBy>Sanjeev Chaudhary</cp:lastModifiedBy>
  <cp:lastPrinted>2026-01-29T01:30:41Z</cp:lastPrinted>
  <dcterms:created xsi:type="dcterms:W3CDTF">2025-11-25T21:05:22Z</dcterms:created>
  <dcterms:modified xsi:type="dcterms:W3CDTF">2026-06-06T05:45:02Z</dcterms:modified>
</cp:coreProperties>
</file>